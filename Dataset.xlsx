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historiapp\"/>
    </mc:Choice>
  </mc:AlternateContent>
  <bookViews>
    <workbookView xWindow="0" yWindow="0" windowWidth="23040" windowHeight="1104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5" i="1" l="1"/>
  <c r="H46" i="1"/>
  <c r="H22" i="1"/>
  <c r="H32" i="1"/>
  <c r="H30" i="1"/>
  <c r="H19" i="1"/>
  <c r="H16" i="1"/>
  <c r="H13" i="1"/>
  <c r="H11" i="1"/>
  <c r="H34" i="1"/>
  <c r="H28" i="1"/>
  <c r="H23" i="1"/>
  <c r="H18" i="1"/>
  <c r="H10" i="1"/>
  <c r="H7" i="1"/>
</calcChain>
</file>

<file path=xl/sharedStrings.xml><?xml version="1.0" encoding="utf-8"?>
<sst xmlns="http://schemas.openxmlformats.org/spreadsheetml/2006/main" count="418" uniqueCount="273">
  <si>
    <t>fecha</t>
  </si>
  <si>
    <t>decada</t>
  </si>
  <si>
    <t>titulo_evento</t>
  </si>
  <si>
    <t>descripcion_corta</t>
  </si>
  <si>
    <t>categoria</t>
  </si>
  <si>
    <t>lugar</t>
  </si>
  <si>
    <t>actores_clave</t>
  </si>
  <si>
    <t>impacto</t>
  </si>
  <si>
    <t>fuente</t>
  </si>
  <si>
    <t>1980s</t>
  </si>
  <si>
    <t>Retorno a la democracia</t>
  </si>
  <si>
    <t>Fernando Belaúnde asume la presidencia tras el gobierno militar.</t>
  </si>
  <si>
    <t>Político</t>
  </si>
  <si>
    <t>Lima</t>
  </si>
  <si>
    <t>Fernando Belaúnde</t>
  </si>
  <si>
    <t>Inicio de la transición democrática.</t>
  </si>
  <si>
    <t>Wikipedia</t>
  </si>
  <si>
    <t>Inicio del conflicto armado interno</t>
  </si>
  <si>
    <t>Sendero Luminoso inicia ataques en Chuschi.</t>
  </si>
  <si>
    <t>Social</t>
  </si>
  <si>
    <t>Ayacucho</t>
  </si>
  <si>
    <t>Abimael Guzmán, SL</t>
  </si>
  <si>
    <t>Inicio del conflicto que marcaría dos décadas.</t>
  </si>
  <si>
    <t>CVR</t>
  </si>
  <si>
    <t>Creación del GEIN</t>
  </si>
  <si>
    <t>Se crea grupo policial de inteligencia contra SL.</t>
  </si>
  <si>
    <t>Seguridad</t>
  </si>
  <si>
    <t>PNP</t>
  </si>
  <si>
    <t>Profesionalización de la lucha antisubversiva.</t>
  </si>
  <si>
    <t>Andina</t>
  </si>
  <si>
    <t>Caso Uchuraccay</t>
  </si>
  <si>
    <t>Ocho periodistas asesinados.</t>
  </si>
  <si>
    <t>Pobladores de Uchuraccay</t>
  </si>
  <si>
    <t>Punto clave en el conflicto y análisis mediático.</t>
  </si>
  <si>
    <t>Aumento de violencia armada</t>
  </si>
  <si>
    <t>SL incrementa ataques y atentados.</t>
  </si>
  <si>
    <t>SL</t>
  </si>
  <si>
    <t>Escalada del conflicto.</t>
  </si>
  <si>
    <t>Alan García asume presidencia</t>
  </si>
  <si>
    <t>Primer gobierno aprista.</t>
  </si>
  <si>
    <t>Alan García</t>
  </si>
  <si>
    <t>Nuevo modelo económico estatista.</t>
  </si>
  <si>
    <t>Estatización de la banca</t>
  </si>
  <si>
    <t>Anuncio de García provoca crisis económica.</t>
  </si>
  <si>
    <t>Económico</t>
  </si>
  <si>
    <t>Rechazo social y crisis financiera.</t>
  </si>
  <si>
    <t>El Comercio</t>
  </si>
  <si>
    <t>Hiperinflación</t>
  </si>
  <si>
    <t>Inflación supera récords históricos.</t>
  </si>
  <si>
    <t>MEF</t>
  </si>
  <si>
    <t>Colapso económico y malestar social.</t>
  </si>
  <si>
    <t>BCRP</t>
  </si>
  <si>
    <t>1990s</t>
  </si>
  <si>
    <t>Elección de Fujimori</t>
  </si>
  <si>
    <t>Fujimori vence a Vargas Llosa.</t>
  </si>
  <si>
    <t>Alberto Fujimori</t>
  </si>
  <si>
    <t>Cambio drástico en modelo económico.</t>
  </si>
  <si>
    <t>JNE</t>
  </si>
  <si>
    <t>Autogolpe de 1992</t>
  </si>
  <si>
    <t>Fujimori disuelve el Congreso.</t>
  </si>
  <si>
    <t>Ruptura democrática.</t>
  </si>
  <si>
    <t>Captura de Abimael Guzmán</t>
  </si>
  <si>
    <t>GEIN captura líder de SL.</t>
  </si>
  <si>
    <t>GEIN, Abimael</t>
  </si>
  <si>
    <t>Punto de quiebre del conflicto.</t>
  </si>
  <si>
    <t>Nueva Constitución</t>
  </si>
  <si>
    <t>Se aprueba Constitución de 1993.</t>
  </si>
  <si>
    <t>CCD</t>
  </si>
  <si>
    <t>Reconfigura el Poder Ejecutivo.</t>
  </si>
  <si>
    <t>Congreso</t>
  </si>
  <si>
    <t>Conflicto del Cenepa</t>
  </si>
  <si>
    <t>Enfrentamiento Perú–Ecuador.</t>
  </si>
  <si>
    <t>Militar</t>
  </si>
  <si>
    <t>FFAA</t>
  </si>
  <si>
    <t>Firma de paz posterior.</t>
  </si>
  <si>
    <t>RREE</t>
  </si>
  <si>
    <t>2000s</t>
  </si>
  <si>
    <t>Vladivideos</t>
  </si>
  <si>
    <t>Video de Montesinos sobornando a Kouri.</t>
  </si>
  <si>
    <t>Vladimiro Montesinos</t>
  </si>
  <si>
    <t>Caída del régimen.</t>
  </si>
  <si>
    <t>IDL</t>
  </si>
  <si>
    <t>Renuncia de Fujimori</t>
  </si>
  <si>
    <t>Fujimori renuncia por fax.</t>
  </si>
  <si>
    <t>Fin del régimen.</t>
  </si>
  <si>
    <t>Comisión de la Verdad y Reconciliación (CVR)</t>
  </si>
  <si>
    <t>Se instala la CVR para investigar el conflicto armado interno.</t>
  </si>
  <si>
    <t>Salomón Lerner, CVR</t>
  </si>
  <si>
    <t>Inicio de un proceso oficial de memoria y justicia.</t>
  </si>
  <si>
    <t>id</t>
  </si>
  <si>
    <t>Alejandro Toledo asume la presidencia</t>
  </si>
  <si>
    <t>Primer presidente indígena moderno en la historia del Perú.</t>
  </si>
  <si>
    <t>Alejandro Toledo</t>
  </si>
  <si>
    <t>Apertura de una nueva etapa democrática.</t>
  </si>
  <si>
    <t>Creación de regiones</t>
  </si>
  <si>
    <t>Se establecen gobiernos regionales electos.</t>
  </si>
  <si>
    <t>MEF, gobiernos regionales</t>
  </si>
  <si>
    <t>Descentralización política y administrativa.</t>
  </si>
  <si>
    <t>PCM</t>
  </si>
  <si>
    <t>Informe Final de la CVR</t>
  </si>
  <si>
    <t>Publicación oficial del Informe Final.</t>
  </si>
  <si>
    <t>Impacto en políticas de reparación y memoria histórica.</t>
  </si>
  <si>
    <t>Caso Lava Jato inicia en Brasil</t>
  </si>
  <si>
    <t>Inicio del megacaso que luego afectaría al Perú.</t>
  </si>
  <si>
    <t>Judicial</t>
  </si>
  <si>
    <t>Odebrecht</t>
  </si>
  <si>
    <t>Primeros indicios de cadenas de corrupción.</t>
  </si>
  <si>
    <t>BBC</t>
  </si>
  <si>
    <t>Marchas por educación digna</t>
  </si>
  <si>
    <t>Movilizaciones nacionales por mejoras en educación.</t>
  </si>
  <si>
    <t>Estudiantes, docentes</t>
  </si>
  <si>
    <t>Impulso a reformas educativas posteriores.</t>
  </si>
  <si>
    <t>Segundo gobierno de Alan García</t>
  </si>
  <si>
    <t>Retorno al poder con un enfoque económico distinto.</t>
  </si>
  <si>
    <t>Inicio del ciclo de crecimiento económico sostenido.</t>
  </si>
  <si>
    <t>Terremoto de Pisco</t>
  </si>
  <si>
    <t>Sismo de magnitud 7.9 afecta el sur del país.</t>
  </si>
  <si>
    <t>Ambiental</t>
  </si>
  <si>
    <t>Ica</t>
  </si>
  <si>
    <t>Indeci, PNP</t>
  </si>
  <si>
    <t>Crisis humanitaria y reconstrucción fallida.</t>
  </si>
  <si>
    <t>Crisis financiera mundial impacta al Perú</t>
  </si>
  <si>
    <t>Caída en exportaciones y menor crecimiento.</t>
  </si>
  <si>
    <t>MEF, BCRP</t>
  </si>
  <si>
    <t>Ajustes fiscales y monetarios.</t>
  </si>
  <si>
    <t>Baguazo</t>
  </si>
  <si>
    <t>Enfrentamiento entre indígenas awajún-wampis y policía.</t>
  </si>
  <si>
    <t>Bagua</t>
  </si>
  <si>
    <t>Líderes indígenas, PNP</t>
  </si>
  <si>
    <t>Crisis política y revisión de decretos.</t>
  </si>
  <si>
    <t>2010s</t>
  </si>
  <si>
    <t>Caso “Petroaudios”</t>
  </si>
  <si>
    <t>Escándalo por tráfico de influencias en contratos petroleros.</t>
  </si>
  <si>
    <t>Fortunato Canaán, Rómulo León</t>
  </si>
  <si>
    <t>Golpe a credibilidad política.</t>
  </si>
  <si>
    <t>Ollanta Humala asume la presidencia</t>
  </si>
  <si>
    <t>Giro político hacia inclusión social.</t>
  </si>
  <si>
    <t>Ollanta Humala</t>
  </si>
  <si>
    <t>Inicio de programas sociales ampliados.</t>
  </si>
  <si>
    <t>Protestas contra Conga</t>
  </si>
  <si>
    <t>Movilizaciones ambientales contra el proyecto minero Conga.</t>
  </si>
  <si>
    <t>Cajamarca</t>
  </si>
  <si>
    <t>Gregorio Santos, Minera Yanacocha</t>
  </si>
  <si>
    <t>Debate nacional sobre minería y territorio.</t>
  </si>
  <si>
    <t>Ley contra la trata de personas</t>
  </si>
  <si>
    <t>Aprobación de ley integral para combatir la trata.</t>
  </si>
  <si>
    <t>Legal</t>
  </si>
  <si>
    <t>Congreso, PNP</t>
  </si>
  <si>
    <t>Avance en derechos humanos y protección.</t>
  </si>
  <si>
    <t>MIMP</t>
  </si>
  <si>
    <t>Elecciones regionales y municipales</t>
  </si>
  <si>
    <t>Renovación de gobiernos locales en medio de casos de corrupción.</t>
  </si>
  <si>
    <t>ONPE</t>
  </si>
  <si>
    <t>Mayor debate sobre transparencia electoral.</t>
  </si>
  <si>
    <t>Amazonas</t>
  </si>
  <si>
    <t>Hallazgo de geoglifos en Cajamarca</t>
  </si>
  <si>
    <t>Se identifican nuevos geoglifos prehispánicos con drones.</t>
  </si>
  <si>
    <t>Cultural</t>
  </si>
  <si>
    <t>Arqueólogos locales</t>
  </si>
  <si>
    <t>Impulsa investigación arqueológica regional.</t>
  </si>
  <si>
    <t>Fuga en oleoducto afecta comunidades amazónicas.</t>
  </si>
  <si>
    <t>Loreto</t>
  </si>
  <si>
    <t>Petroperú, comunidades kukama</t>
  </si>
  <si>
    <t>Crisis ambiental en la Amazonía.</t>
  </si>
  <si>
    <t>PPK asume la presidencia</t>
  </si>
  <si>
    <t>Segunda transferencia democrática consecutiva.</t>
  </si>
  <si>
    <t>Pedro Pablo Kuczynski</t>
  </si>
  <si>
    <t>Inicio de gobierno corto y conflictivo.</t>
  </si>
  <si>
    <t>Reapertura del Museo de Túcume</t>
  </si>
  <si>
    <t>Renovación del complejo museográfico en Lambayeque.</t>
  </si>
  <si>
    <t>Lambayeque</t>
  </si>
  <si>
    <t>Ministerio de Cultura</t>
  </si>
  <si>
    <t>Fortalecimiento del turismo cultural.</t>
  </si>
  <si>
    <t>Mincul</t>
  </si>
  <si>
    <t>Niño Costero golpea el norte</t>
  </si>
  <si>
    <t>Inundaciones masivas afectan múltiples regiones.</t>
  </si>
  <si>
    <t>Piura</t>
  </si>
  <si>
    <t>Indeci, gobiernos regionales</t>
  </si>
  <si>
    <t>Daño social y económico fuerte.</t>
  </si>
  <si>
    <t>Huelga de maestros</t>
  </si>
  <si>
    <t>Movilización nacional con epicentros en Cusco y Puno.</t>
  </si>
  <si>
    <t>Cusco</t>
  </si>
  <si>
    <t>Docentes regionales</t>
  </si>
  <si>
    <t>Reestructura diálogo Estado–magisterio.</t>
  </si>
  <si>
    <t>Siniestra infraestructura informal afecta a comerciantes.</t>
  </si>
  <si>
    <t>Arequipa</t>
  </si>
  <si>
    <t>Bomberos, emprendedores</t>
  </si>
  <si>
    <t>Debate sobre informalidad comercial.</t>
  </si>
  <si>
    <t>RPP</t>
  </si>
  <si>
    <t>Conflicto por Tía María</t>
  </si>
  <si>
    <t>Recrudecen protestas contra proyecto minero.</t>
  </si>
  <si>
    <t>Agricultores del Valle de Tambo</t>
  </si>
  <si>
    <t>Punto clave sobre minería y territorio.</t>
  </si>
  <si>
    <t>Captura de organización criminal “Los Piratas del Huallaga”</t>
  </si>
  <si>
    <t>Golpe policial al crimen organizado en la selva.</t>
  </si>
  <si>
    <t>Huánuco</t>
  </si>
  <si>
    <t>Reducción de violencia en la zona.</t>
  </si>
  <si>
    <t>Inauguración del teleférico de Kuélap</t>
  </si>
  <si>
    <t>Nuevo sistema para promover turismo sostenible.</t>
  </si>
  <si>
    <t>Mincetur</t>
  </si>
  <si>
    <t>Crecimiento turístico en región amazónica.</t>
  </si>
  <si>
    <t>Marchas contra contaminación minera</t>
  </si>
  <si>
    <t>Comunidades de Espinar protestan por metales pesados.</t>
  </si>
  <si>
    <t>Líderes comunales</t>
  </si>
  <si>
    <t>Visibilización de salud ambiental.</t>
  </si>
  <si>
    <t>2020s</t>
  </si>
  <si>
    <t>Primer caso de COVID-19 en el Perú</t>
  </si>
  <si>
    <t>Confirmación oficial del primer contagiado.</t>
  </si>
  <si>
    <t>Salud</t>
  </si>
  <si>
    <t>MINSA</t>
  </si>
  <si>
    <t>Inicio de emergencia nacional.</t>
  </si>
  <si>
    <t>Crisis por cierre de fronteras</t>
  </si>
  <si>
    <t>Miles de migrantes internos quedan varados.</t>
  </si>
  <si>
    <t>Tacna</t>
  </si>
  <si>
    <t>Gobierno Regional, población</t>
  </si>
  <si>
    <t>Replanteo de políticas de movilidad.</t>
  </si>
  <si>
    <t>Marcha Nacional</t>
  </si>
  <si>
    <t>Movilización masiva tras crisis política.</t>
  </si>
  <si>
    <t>Jóvenes, colectivos civiles</t>
  </si>
  <si>
    <t>Renuncia del presidente Merino.</t>
  </si>
  <si>
    <t>Vacunación inicia en el Perú</t>
  </si>
  <si>
    <t>Llegan primeras dosis para personal de salud.</t>
  </si>
  <si>
    <t>Punto de inflexión en la pandemia.</t>
  </si>
  <si>
    <t>latitud</t>
  </si>
  <si>
    <t>longitud</t>
  </si>
  <si>
    <t>Derrame de petróleo en Cuninico</t>
  </si>
  <si>
    <t>Incendio en mercado de Las Malvinas</t>
  </si>
  <si>
    <t>imagen</t>
  </si>
  <si>
    <t>https://fernandobelaundeterry.com.pe/img/galeria/e3565820e160444c5a5bc5c61b58148e83c54bb7.jpg</t>
  </si>
  <si>
    <t>https://pbs.twimg.com/media/GN0pfFIW0AACKeg.png</t>
  </si>
  <si>
    <t>https://www.servindi.org/sites/default/files/editor/imagenes/gein.png</t>
  </si>
  <si>
    <t>https://wayka.pe/wp-content/uploads/2017/01/uchu.jpg.webp</t>
  </si>
  <si>
    <t>https://cdn01.pucp.education/idehpucp/images/2024/03/imagen_2022-07-19_063244840.png</t>
  </si>
  <si>
    <t>https://media.cnn.com/api/v1/images/stellar/prod/cnne-638827-peru-politics-garcia.jpg?c=original</t>
  </si>
  <si>
    <t>https://lineadetiempo.iep.org.pe/public/upload/file_569fc11cddd8d.jpg</t>
  </si>
  <si>
    <t>https://pbs.twimg.com/media/Evhz268WYAMTBsI.jpg</t>
  </si>
  <si>
    <t>https://scontent.flim28-1.fna.fbcdn.net/v/t1.6435-9/34963073_10156190722935661_1021843668283162624_n.png?stp=dst-png_p526x296&amp;_nc_cat=106&amp;ccb=1-7&amp;_nc_sid=127cfc&amp;_nc_ohc=gMMEfvlABJIQ7kNvwHw4t2x&amp;_nc_oc=AdmeQiKQt8Trz1mHjtlIqhAm7FW8j-ttjqSUyzsOtaaGuPmbSWbjfVfvZ1dQwUL1LFE&amp;_nc_zt=23&amp;_nc_ht=scontent.flim28-1.fna&amp;_nc_gid=3-njooDcKe5ZrizytwiXGQ&amp;oh=00_AfksBDAzJSmZcf9hSuYfB04WbPDI_wwRxLKzF6doZCb4uA&amp;oe=695BBF63</t>
  </si>
  <si>
    <t>https://cloudfront-us-east-1.images.arcpublishing.com/infobae/MNMIX7O6JNGI3IGBS7ZZE54AAQ.png</t>
  </si>
  <si>
    <t>https://s.france24.com/media/display/b4652ef0-e9fe-11eb-9ff8-005056a97e36/w:1280/p:16x9/294af33ffc0dcaa192c1a3a98139bb16db45c844.jpg</t>
  </si>
  <si>
    <t>https://images.ctfassets.net/owmn3xt273ds/1Ta2J1EbrBcDECGkGcgdQf/4d4d201c65b0ceb4f8a73fc4abce10e1/NS231120_Caballero.jpg?fm=webp</t>
  </si>
  <si>
    <t>https://egecperu.pe/wp-content/uploads/2025/02/El-Conflicto-del-Cenepa-La-ultima-guerra-de-America-Latina-y-su-legado-30-anos-despues.webp</t>
  </si>
  <si>
    <t>https://imagenes.elpais.com/resizer/v2/IFSHOUIXSUU7AG2L7F4Y6JGX5M.jpg?auth=d9163fb9b90528567b5431808e2a54298e3cc1bc2e283c3a8f655e9e420319ca&amp;width=1960&amp;height=1103&amp;smart=true</t>
  </si>
  <si>
    <t>https://lum.cultura.pe/cdi/sites/default/files/articulo/fotos/3_5.jpg</t>
  </si>
  <si>
    <t>https://cloudfront-us-east-1.images.arcpublishing.com/infobae/UL6SX2MWK5DCJFDTA63U74BCCI.jpg</t>
  </si>
  <si>
    <t>https://imagenes.elpais.com/resizer/v2/B2SC7E7AYJXRZ76B3V3KFHLV4Y.jpg?auth=849475f022e746d9bde24b95cf684adcb9a3e97b3ee2d47b5ad1c406688731be&amp;width=414</t>
  </si>
  <si>
    <t>https://ceeep.mil.pe/wp-content/uploads/2023/05/word-image-2.png</t>
  </si>
  <si>
    <t>https://www.infobae.com/new-resizer/x6tcVNbY5McXHQE1WcwLnQvwKSY=/arc-anglerfish-arc2-prod-infobae/public/QWXC4RD3EZE2DC2YPG2LWVNJ6Q.jpg</t>
  </si>
  <si>
    <t>https://www.proetica.org.pe/wp-content/uploads/2018/01/LAVA-JATO2.jpg</t>
  </si>
  <si>
    <t>https://larepublica.cronosmedia.glr.pe/original/2022/05/14/627f70f8580a3a2b71793e9f.jpg</t>
  </si>
  <si>
    <t>https://cde.canaln.pe/actualidad-gobierno-alan-garcia-percibido-como-mas-corrupto-ultimos-anos-n293761-696x418-405589.jpg</t>
  </si>
  <si>
    <t>https://www.infobae.com/new-resizer/d6B9iKFMlztidbjW1KNsWUXRJSI=/arc-anglerfish-arc2-prod-infobae/public/ESMWDG2KPNAOXOEXPVPA47O3HA.png</t>
  </si>
  <si>
    <t>https://portal.andina.pe/EDPfotografia2/Thumbnail/2009/03/10/000089188W.jpg</t>
  </si>
  <si>
    <t>https://imgs.mongabay.com/wp-content/uploads/sites/25/2016/09/03171652/bagua_conflicto_pueblo-indigena_mongabay-1.jpg</t>
  </si>
  <si>
    <t>https://lineadetiempo.iep.org.pe/public/upload/file_569955f6af2a9.jpg</t>
  </si>
  <si>
    <t>https://upload.wikimedia.org/wikipedia/commons/3/30/Ollanta_Humala_asume_Presidencia_del_Per%C3%BA.jpg</t>
  </si>
  <si>
    <t>https://lineadetiempo.iep.org.pe/public/upload/file_5699ae8de29a7.jpg</t>
  </si>
  <si>
    <t>https://scontent.flim38-1.fna.fbcdn.net/v/t1.6435-9/167613447_5263535013687951_4723074474013864240_n.jpg?_nc_cat=108&amp;ccb=1-7&amp;_nc_sid=127cfc&amp;_nc_ohc=o8tz-1k1JycQ7kNvwHkUk4w&amp;_nc_oc=Adk6icTyWnS7dsPJHdEAFMSHEiptTP0NaeuVmLAnCZodlQs_71Izs5NWgLLZiLxiLxk&amp;_nc_zt=23&amp;_nc_ht=scontent.flim38-1.fna&amp;_nc_gid=LxrPtW7f46WvpCpLpaCVtg&amp;oh=00_AfnnFBboSYUyQG-ljdYywE2ox1Gp_D8RD1EmKfQD2wSeBg&amp;oe=695C0000</t>
  </si>
  <si>
    <t>https://cdn01.pucp.education/idehpucp/images/2024/03/imagen_2022-09-26_232350211-1024x683.png</t>
  </si>
  <si>
    <t>https://upload.wikimedia.org/wikipedia/commons/4/43/MapaElectoralRegionalPeru2014.png</t>
  </si>
  <si>
    <t>https://elperuano.pe/suplementosflipping/lonuestro/251/web/img/foto06.jpg</t>
  </si>
  <si>
    <t>https://cloudfront-eu-central-1.images.arcpublishing.com/prisaradio/GXMOG2MOFNLXRLNZUDU24WINMY.jpg</t>
  </si>
  <si>
    <t>https://museos.cultura.pe/sites/default/files/noticias/imagenes/2021-12/Museo%20Tu%CC%81cume.png</t>
  </si>
  <si>
    <t>https://ojo-publico.com/sites/default/files/32701602463_d00f89db08_h.jpg</t>
  </si>
  <si>
    <t>https://www.infobae.com/resizer/v2/V7TPPRJTPBENLBRP52G7DVCY2Y.png?auth=ed6944ef06a5f942357505fc80ca93aded1e766dda03d0a2dc9a7fd8dc218e06&amp;smart=true&amp;width=1200&amp;height=1200&amp;quality=85</t>
  </si>
  <si>
    <t>https://img.lpderecho.pe/wp-content/uploads/2021/07/Licencia-sindical-Pedro-Castillo-LP.jpg</t>
  </si>
  <si>
    <t>https://ucsp.edu.pe/wp-content/uploads/2023/08/b1161.jpeg</t>
  </si>
  <si>
    <t>https://scontent.flim38-1.fna.fbcdn.net/v/t39.30808-6/564716127_1212449430920169_8072068678252789608_n.jpg?_nc_cat=105&amp;ccb=1-7&amp;_nc_sid=833d8c&amp;_nc_ohc=EdDd3VlrdeYQ7kNvwGJISI9&amp;_nc_oc=AdnUiTEhUP3yz_ZfLs8DBk6_NP_bN_aH4yF7vuTeKrLfx3VJAwH5gtETNr0QJrWLHl8&amp;_nc_zt=23&amp;_nc_ht=scontent.flim38-1.fna&amp;_nc_gid=S34O2x7lt3kRWQgKaxrrTw&amp;oh=00_Afkr5Sbi5upttlaBB4bMTkFG2m5lSbKJj3waESqPSETzQA&amp;oe=693A4AC9</t>
  </si>
  <si>
    <t>https://peru.info/archivos/publicacion/26-imagen-2035341682017.jpg</t>
  </si>
  <si>
    <t>https://cooperaccion.org.pe/wp-content/uploads/2019/11/AYACUCHO-PARO-MINER%C3%8DA-La-mula.jpg</t>
  </si>
  <si>
    <t>https://i.ytimg.com/vi/Fdp2kEMhG7g/maxresdefault.jpg</t>
  </si>
  <si>
    <t>https://www.infobae.com/new-resizer/YxvTlJzVnFWweLyB8sUyhdL2n5c=/arc-anglerfish-arc2-prod-infobae/public/DCUTTZYEXXKH3OKVMGZKOBTNTU.jpg</t>
  </si>
  <si>
    <t>https://upload.wikimedia.org/wikipedia/commons/8/82/Protestas_en_Lima_por_golpe_de_estado_parlamentario_27.jpg</t>
  </si>
  <si>
    <t>https://www.unicef.org/peru/sites/unicef.org.peru/files/styles/press_release_feature/public/Vacunacion%20nino%20Peru%20-%20UNICEF%20UN0724497.jpg.webp?itok=abBnc3U0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</si>
</sst>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tabSelected="1" topLeftCell="C1" zoomScale="120" zoomScaleNormal="120" workbookViewId="0">
      <selection activeCell="H17" sqref="H17"/>
    </sheetView>
  </sheetViews>
  <sheetFormatPr baseColWidth="10" defaultRowHeight="14.4" x14ac:dyDescent="0.3"/>
  <cols>
    <col min="1" max="1" width="3" bestFit="1" customWidth="1"/>
    <col min="2" max="2" width="10.6640625" bestFit="1" customWidth="1"/>
    <col min="3" max="3" width="7" bestFit="1" customWidth="1"/>
    <col min="4" max="4" width="51.21875" bestFit="1" customWidth="1"/>
    <col min="5" max="5" width="58.109375" bestFit="1" customWidth="1"/>
    <col min="6" max="6" width="10.109375" hidden="1" customWidth="1"/>
    <col min="7" max="7" width="11.6640625" customWidth="1"/>
    <col min="8" max="9" width="8.21875" customWidth="1"/>
    <col min="10" max="10" width="31.21875" bestFit="1" customWidth="1"/>
    <col min="11" max="11" width="48.44140625" bestFit="1" customWidth="1"/>
    <col min="12" max="12" width="10.88671875" bestFit="1" customWidth="1"/>
    <col min="13" max="13" width="255.77734375" bestFit="1" customWidth="1"/>
  </cols>
  <sheetData>
    <row r="1" spans="1:13" x14ac:dyDescent="0.3">
      <c r="A1" t="s">
        <v>89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223</v>
      </c>
      <c r="I1" t="s">
        <v>224</v>
      </c>
      <c r="J1" t="s">
        <v>6</v>
      </c>
      <c r="K1" t="s">
        <v>7</v>
      </c>
      <c r="L1" t="s">
        <v>8</v>
      </c>
      <c r="M1" t="s">
        <v>227</v>
      </c>
    </row>
    <row r="2" spans="1:13" x14ac:dyDescent="0.3">
      <c r="A2">
        <v>1</v>
      </c>
      <c r="B2" s="1">
        <v>29430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2">
        <v>-12.045005977682299</v>
      </c>
      <c r="I2" s="2">
        <v>-77.029964136886207</v>
      </c>
      <c r="J2" t="s">
        <v>14</v>
      </c>
      <c r="K2" t="s">
        <v>15</v>
      </c>
      <c r="L2" t="s">
        <v>16</v>
      </c>
      <c r="M2" t="s">
        <v>228</v>
      </c>
    </row>
    <row r="3" spans="1:13" x14ac:dyDescent="0.3">
      <c r="A3">
        <v>2</v>
      </c>
      <c r="B3" s="1">
        <v>29358</v>
      </c>
      <c r="C3" t="s">
        <v>9</v>
      </c>
      <c r="D3" t="s">
        <v>17</v>
      </c>
      <c r="E3" t="s">
        <v>18</v>
      </c>
      <c r="F3" t="s">
        <v>19</v>
      </c>
      <c r="G3" t="s">
        <v>20</v>
      </c>
      <c r="H3" s="2">
        <v>-13.160994057531299</v>
      </c>
      <c r="I3" s="2">
        <v>-74.2325736178272</v>
      </c>
      <c r="J3" t="s">
        <v>21</v>
      </c>
      <c r="K3" t="s">
        <v>22</v>
      </c>
      <c r="L3" t="s">
        <v>23</v>
      </c>
      <c r="M3" t="s">
        <v>229</v>
      </c>
    </row>
    <row r="4" spans="1:13" x14ac:dyDescent="0.3">
      <c r="A4">
        <v>3</v>
      </c>
      <c r="B4" s="1">
        <v>30314</v>
      </c>
      <c r="C4" t="s">
        <v>9</v>
      </c>
      <c r="D4" t="s">
        <v>24</v>
      </c>
      <c r="E4" t="s">
        <v>25</v>
      </c>
      <c r="F4" t="s">
        <v>26</v>
      </c>
      <c r="G4" t="s">
        <v>13</v>
      </c>
      <c r="H4" s="2">
        <v>-12.0578260465577</v>
      </c>
      <c r="I4" s="2">
        <v>-77.0406736466811</v>
      </c>
      <c r="J4" t="s">
        <v>27</v>
      </c>
      <c r="K4" t="s">
        <v>28</v>
      </c>
      <c r="L4" t="s">
        <v>29</v>
      </c>
      <c r="M4" t="s">
        <v>230</v>
      </c>
    </row>
    <row r="5" spans="1:13" x14ac:dyDescent="0.3">
      <c r="A5">
        <v>4</v>
      </c>
      <c r="B5" s="1">
        <v>30342</v>
      </c>
      <c r="C5" t="s">
        <v>9</v>
      </c>
      <c r="D5" t="s">
        <v>30</v>
      </c>
      <c r="E5" t="s">
        <v>31</v>
      </c>
      <c r="F5" t="s">
        <v>19</v>
      </c>
      <c r="G5" t="s">
        <v>20</v>
      </c>
      <c r="H5" s="2">
        <v>-12.8268585509094</v>
      </c>
      <c r="I5" s="2">
        <v>-74.111507049831403</v>
      </c>
      <c r="J5" t="s">
        <v>32</v>
      </c>
      <c r="K5" t="s">
        <v>33</v>
      </c>
      <c r="L5" t="s">
        <v>23</v>
      </c>
      <c r="M5" t="s">
        <v>231</v>
      </c>
    </row>
    <row r="6" spans="1:13" x14ac:dyDescent="0.3">
      <c r="A6">
        <v>5</v>
      </c>
      <c r="B6" s="1">
        <v>30990</v>
      </c>
      <c r="C6" t="s">
        <v>9</v>
      </c>
      <c r="D6" t="s">
        <v>34</v>
      </c>
      <c r="E6" t="s">
        <v>35</v>
      </c>
      <c r="F6" t="s">
        <v>19</v>
      </c>
      <c r="G6" t="s">
        <v>20</v>
      </c>
      <c r="H6" s="2">
        <v>-13.1852225571488</v>
      </c>
      <c r="I6" s="2">
        <v>-74.229491041586897</v>
      </c>
      <c r="J6" t="s">
        <v>36</v>
      </c>
      <c r="K6" t="s">
        <v>37</v>
      </c>
      <c r="L6" t="s">
        <v>23</v>
      </c>
      <c r="M6" t="s">
        <v>232</v>
      </c>
    </row>
    <row r="7" spans="1:13" x14ac:dyDescent="0.3">
      <c r="A7">
        <v>6</v>
      </c>
      <c r="B7" s="1">
        <v>31256</v>
      </c>
      <c r="C7" t="s">
        <v>9</v>
      </c>
      <c r="D7" t="s">
        <v>38</v>
      </c>
      <c r="E7" t="s">
        <v>39</v>
      </c>
      <c r="F7" t="s">
        <v>12</v>
      </c>
      <c r="G7" t="s">
        <v>13</v>
      </c>
      <c r="H7" s="2">
        <f>-12.0450059776823</f>
        <v>-12.045005977682299</v>
      </c>
      <c r="I7" s="2">
        <v>-77.029964136886207</v>
      </c>
      <c r="J7" t="s">
        <v>40</v>
      </c>
      <c r="K7" t="s">
        <v>41</v>
      </c>
      <c r="L7" t="s">
        <v>16</v>
      </c>
      <c r="M7" t="s">
        <v>233</v>
      </c>
    </row>
    <row r="8" spans="1:13" x14ac:dyDescent="0.3">
      <c r="A8">
        <v>7</v>
      </c>
      <c r="B8" s="1">
        <v>31986</v>
      </c>
      <c r="C8" t="s">
        <v>9</v>
      </c>
      <c r="D8" t="s">
        <v>42</v>
      </c>
      <c r="E8" t="s">
        <v>43</v>
      </c>
      <c r="F8" t="s">
        <v>44</v>
      </c>
      <c r="G8" t="s">
        <v>13</v>
      </c>
      <c r="H8" s="2">
        <v>-12.096712767937699</v>
      </c>
      <c r="I8" s="2">
        <v>-77.021037741032004</v>
      </c>
      <c r="J8" t="s">
        <v>40</v>
      </c>
      <c r="K8" t="s">
        <v>45</v>
      </c>
      <c r="L8" t="s">
        <v>46</v>
      </c>
      <c r="M8" t="s">
        <v>234</v>
      </c>
    </row>
    <row r="9" spans="1:13" x14ac:dyDescent="0.3">
      <c r="A9">
        <v>8</v>
      </c>
      <c r="B9" s="1">
        <v>32509</v>
      </c>
      <c r="C9" t="s">
        <v>9</v>
      </c>
      <c r="D9" t="s">
        <v>47</v>
      </c>
      <c r="E9" t="s">
        <v>48</v>
      </c>
      <c r="F9" t="s">
        <v>44</v>
      </c>
      <c r="G9" t="s">
        <v>13</v>
      </c>
      <c r="H9" s="2">
        <v>-12.0463216510866</v>
      </c>
      <c r="I9" s="2">
        <v>-77.028377719694802</v>
      </c>
      <c r="J9" t="s">
        <v>49</v>
      </c>
      <c r="K9" t="s">
        <v>50</v>
      </c>
      <c r="L9" t="s">
        <v>51</v>
      </c>
      <c r="M9" t="s">
        <v>235</v>
      </c>
    </row>
    <row r="10" spans="1:13" x14ac:dyDescent="0.3">
      <c r="A10">
        <v>9</v>
      </c>
      <c r="B10" s="1">
        <v>33034</v>
      </c>
      <c r="C10" t="s">
        <v>52</v>
      </c>
      <c r="D10" t="s">
        <v>53</v>
      </c>
      <c r="E10" t="s">
        <v>54</v>
      </c>
      <c r="F10" t="s">
        <v>12</v>
      </c>
      <c r="G10" t="s">
        <v>13</v>
      </c>
      <c r="H10" s="2">
        <f>-12.0450059776823</f>
        <v>-12.045005977682299</v>
      </c>
      <c r="I10" s="2">
        <v>-77.029964136886207</v>
      </c>
      <c r="J10" t="s">
        <v>55</v>
      </c>
      <c r="K10" t="s">
        <v>56</v>
      </c>
      <c r="L10" t="s">
        <v>57</v>
      </c>
      <c r="M10" t="s">
        <v>236</v>
      </c>
    </row>
    <row r="11" spans="1:13" x14ac:dyDescent="0.3">
      <c r="A11">
        <v>10</v>
      </c>
      <c r="B11" s="1">
        <v>33699</v>
      </c>
      <c r="C11" t="s">
        <v>52</v>
      </c>
      <c r="D11" t="s">
        <v>58</v>
      </c>
      <c r="E11" t="s">
        <v>59</v>
      </c>
      <c r="F11" t="s">
        <v>12</v>
      </c>
      <c r="G11" t="s">
        <v>13</v>
      </c>
      <c r="H11" s="2">
        <f>-12.0479451976752</f>
        <v>-12.047945197675199</v>
      </c>
      <c r="I11" s="2">
        <v>-77.025359597612507</v>
      </c>
      <c r="J11" t="s">
        <v>55</v>
      </c>
      <c r="K11" t="s">
        <v>60</v>
      </c>
      <c r="L11" t="s">
        <v>46</v>
      </c>
      <c r="M11" t="s">
        <v>237</v>
      </c>
    </row>
    <row r="12" spans="1:13" x14ac:dyDescent="0.3">
      <c r="A12">
        <v>11</v>
      </c>
      <c r="B12" s="1">
        <v>33859</v>
      </c>
      <c r="C12" t="s">
        <v>52</v>
      </c>
      <c r="D12" t="s">
        <v>61</v>
      </c>
      <c r="E12" t="s">
        <v>62</v>
      </c>
      <c r="F12" t="s">
        <v>26</v>
      </c>
      <c r="G12" t="s">
        <v>13</v>
      </c>
      <c r="H12" s="2">
        <v>-12.1186696082605</v>
      </c>
      <c r="I12" s="2">
        <v>-77.000673939473003</v>
      </c>
      <c r="J12" t="s">
        <v>63</v>
      </c>
      <c r="K12" t="s">
        <v>64</v>
      </c>
      <c r="L12" t="s">
        <v>23</v>
      </c>
      <c r="M12" t="s">
        <v>238</v>
      </c>
    </row>
    <row r="13" spans="1:13" x14ac:dyDescent="0.3">
      <c r="A13">
        <v>12</v>
      </c>
      <c r="B13" s="1">
        <v>34273</v>
      </c>
      <c r="C13" t="s">
        <v>52</v>
      </c>
      <c r="D13" t="s">
        <v>65</v>
      </c>
      <c r="E13" t="s">
        <v>66</v>
      </c>
      <c r="F13" t="s">
        <v>12</v>
      </c>
      <c r="G13" t="s">
        <v>13</v>
      </c>
      <c r="H13" s="2">
        <f>-12.0479451976752</f>
        <v>-12.047945197675199</v>
      </c>
      <c r="I13" s="2">
        <v>-77.025359597612507</v>
      </c>
      <c r="J13" t="s">
        <v>67</v>
      </c>
      <c r="K13" t="s">
        <v>68</v>
      </c>
      <c r="L13" t="s">
        <v>69</v>
      </c>
      <c r="M13" t="s">
        <v>239</v>
      </c>
    </row>
    <row r="14" spans="1:13" x14ac:dyDescent="0.3">
      <c r="A14">
        <v>13</v>
      </c>
      <c r="B14" s="1">
        <v>34756</v>
      </c>
      <c r="C14" t="s">
        <v>52</v>
      </c>
      <c r="D14" t="s">
        <v>70</v>
      </c>
      <c r="E14" t="s">
        <v>71</v>
      </c>
      <c r="F14" t="s">
        <v>72</v>
      </c>
      <c r="G14" t="s">
        <v>154</v>
      </c>
      <c r="H14" s="2">
        <v>-4.1171785680431396</v>
      </c>
      <c r="I14" s="2">
        <v>-78.128751257112796</v>
      </c>
      <c r="J14" t="s">
        <v>73</v>
      </c>
      <c r="K14" t="s">
        <v>74</v>
      </c>
      <c r="L14" t="s">
        <v>75</v>
      </c>
      <c r="M14" t="s">
        <v>240</v>
      </c>
    </row>
    <row r="15" spans="1:13" x14ac:dyDescent="0.3">
      <c r="A15">
        <v>14</v>
      </c>
      <c r="B15" s="1">
        <v>36783</v>
      </c>
      <c r="C15" t="s">
        <v>76</v>
      </c>
      <c r="D15" t="s">
        <v>77</v>
      </c>
      <c r="E15" t="s">
        <v>78</v>
      </c>
      <c r="F15" t="s">
        <v>12</v>
      </c>
      <c r="G15" t="s">
        <v>13</v>
      </c>
      <c r="H15" s="2">
        <v>-12.299061880493101</v>
      </c>
      <c r="I15" s="2">
        <v>-76.854659896952199</v>
      </c>
      <c r="J15" t="s">
        <v>79</v>
      </c>
      <c r="K15" t="s">
        <v>80</v>
      </c>
      <c r="L15" t="s">
        <v>81</v>
      </c>
      <c r="M15" t="s">
        <v>241</v>
      </c>
    </row>
    <row r="16" spans="1:13" x14ac:dyDescent="0.3">
      <c r="A16">
        <v>15</v>
      </c>
      <c r="B16" s="1">
        <v>36849</v>
      </c>
      <c r="C16" t="s">
        <v>76</v>
      </c>
      <c r="D16" t="s">
        <v>82</v>
      </c>
      <c r="E16" t="s">
        <v>83</v>
      </c>
      <c r="F16" t="s">
        <v>12</v>
      </c>
      <c r="G16" t="s">
        <v>13</v>
      </c>
      <c r="H16" s="2">
        <f>-12.0479451976752</f>
        <v>-12.047945197675199</v>
      </c>
      <c r="I16" s="2">
        <v>-77.025359597612507</v>
      </c>
      <c r="J16" t="s">
        <v>55</v>
      </c>
      <c r="K16" t="s">
        <v>84</v>
      </c>
      <c r="L16" t="s">
        <v>29</v>
      </c>
      <c r="M16" t="s">
        <v>242</v>
      </c>
    </row>
    <row r="17" spans="1:13" x14ac:dyDescent="0.3">
      <c r="A17">
        <v>16</v>
      </c>
      <c r="B17" s="1">
        <v>36970</v>
      </c>
      <c r="C17" t="s">
        <v>76</v>
      </c>
      <c r="D17" t="s">
        <v>85</v>
      </c>
      <c r="E17" t="s">
        <v>86</v>
      </c>
      <c r="F17" t="s">
        <v>19</v>
      </c>
      <c r="G17" t="s">
        <v>13</v>
      </c>
      <c r="H17" s="2">
        <v>-12.0579473662712</v>
      </c>
      <c r="I17" s="2">
        <v>-77.068053272959006</v>
      </c>
      <c r="J17" t="s">
        <v>87</v>
      </c>
      <c r="K17" t="s">
        <v>88</v>
      </c>
      <c r="L17" t="s">
        <v>23</v>
      </c>
      <c r="M17" t="s">
        <v>246</v>
      </c>
    </row>
    <row r="18" spans="1:13" x14ac:dyDescent="0.3">
      <c r="A18">
        <v>17</v>
      </c>
      <c r="B18" s="1">
        <v>37100</v>
      </c>
      <c r="C18" t="s">
        <v>76</v>
      </c>
      <c r="D18" t="s">
        <v>90</v>
      </c>
      <c r="E18" t="s">
        <v>91</v>
      </c>
      <c r="F18" t="s">
        <v>12</v>
      </c>
      <c r="G18" t="s">
        <v>13</v>
      </c>
      <c r="H18" s="2">
        <f>-12.0450059776823</f>
        <v>-12.045005977682299</v>
      </c>
      <c r="I18" s="2">
        <v>-77.029964136886207</v>
      </c>
      <c r="J18" t="s">
        <v>92</v>
      </c>
      <c r="K18" t="s">
        <v>93</v>
      </c>
      <c r="L18" t="s">
        <v>16</v>
      </c>
      <c r="M18" t="s">
        <v>244</v>
      </c>
    </row>
    <row r="19" spans="1:13" x14ac:dyDescent="0.3">
      <c r="A19">
        <v>18</v>
      </c>
      <c r="B19" s="1">
        <v>37408</v>
      </c>
      <c r="C19" t="s">
        <v>76</v>
      </c>
      <c r="D19" t="s">
        <v>94</v>
      </c>
      <c r="E19" t="s">
        <v>95</v>
      </c>
      <c r="F19" t="s">
        <v>12</v>
      </c>
      <c r="G19" t="s">
        <v>13</v>
      </c>
      <c r="H19" s="2">
        <f>-12.0479451976752</f>
        <v>-12.047945197675199</v>
      </c>
      <c r="I19" s="2">
        <v>-77.025359597612507</v>
      </c>
      <c r="J19" t="s">
        <v>96</v>
      </c>
      <c r="K19" t="s">
        <v>97</v>
      </c>
      <c r="L19" t="s">
        <v>98</v>
      </c>
      <c r="M19" t="s">
        <v>245</v>
      </c>
    </row>
    <row r="20" spans="1:13" x14ac:dyDescent="0.3">
      <c r="A20">
        <v>19</v>
      </c>
      <c r="B20" s="1">
        <v>37861</v>
      </c>
      <c r="C20" t="s">
        <v>76</v>
      </c>
      <c r="D20" t="s">
        <v>99</v>
      </c>
      <c r="E20" t="s">
        <v>100</v>
      </c>
      <c r="F20" t="s">
        <v>19</v>
      </c>
      <c r="G20" t="s">
        <v>13</v>
      </c>
      <c r="H20" s="2">
        <v>-12.0579473662712</v>
      </c>
      <c r="I20" s="2">
        <v>-77.068053272959006</v>
      </c>
      <c r="J20" t="s">
        <v>23</v>
      </c>
      <c r="K20" t="s">
        <v>101</v>
      </c>
      <c r="L20" t="s">
        <v>23</v>
      </c>
      <c r="M20" t="s">
        <v>243</v>
      </c>
    </row>
    <row r="21" spans="1:13" x14ac:dyDescent="0.3">
      <c r="A21">
        <v>20</v>
      </c>
      <c r="B21" s="1">
        <v>38190</v>
      </c>
      <c r="C21" t="s">
        <v>76</v>
      </c>
      <c r="D21" t="s">
        <v>102</v>
      </c>
      <c r="E21" t="s">
        <v>103</v>
      </c>
      <c r="F21" t="s">
        <v>104</v>
      </c>
      <c r="G21" t="s">
        <v>13</v>
      </c>
      <c r="H21" s="2">
        <v>-12.0579473662712</v>
      </c>
      <c r="I21" s="2">
        <v>-77.068053272959006</v>
      </c>
      <c r="J21" t="s">
        <v>105</v>
      </c>
      <c r="K21" t="s">
        <v>106</v>
      </c>
      <c r="L21" t="s">
        <v>107</v>
      </c>
      <c r="M21" t="s">
        <v>247</v>
      </c>
    </row>
    <row r="22" spans="1:13" x14ac:dyDescent="0.3">
      <c r="A22">
        <v>21</v>
      </c>
      <c r="B22" s="1">
        <v>38362</v>
      </c>
      <c r="C22" t="s">
        <v>76</v>
      </c>
      <c r="D22" t="s">
        <v>108</v>
      </c>
      <c r="E22" t="s">
        <v>109</v>
      </c>
      <c r="F22" t="s">
        <v>19</v>
      </c>
      <c r="G22" t="s">
        <v>13</v>
      </c>
      <c r="H22" s="2">
        <f>-12.0517187883729</f>
        <v>-12.0517187883729</v>
      </c>
      <c r="I22" s="2">
        <v>-77.034671572863004</v>
      </c>
      <c r="J22" t="s">
        <v>110</v>
      </c>
      <c r="K22" t="s">
        <v>111</v>
      </c>
      <c r="L22" t="s">
        <v>46</v>
      </c>
      <c r="M22" t="s">
        <v>248</v>
      </c>
    </row>
    <row r="23" spans="1:13" x14ac:dyDescent="0.3">
      <c r="A23">
        <v>22</v>
      </c>
      <c r="B23" s="1">
        <v>38926</v>
      </c>
      <c r="C23" t="s">
        <v>76</v>
      </c>
      <c r="D23" t="s">
        <v>112</v>
      </c>
      <c r="E23" t="s">
        <v>113</v>
      </c>
      <c r="F23" t="s">
        <v>12</v>
      </c>
      <c r="G23" t="s">
        <v>13</v>
      </c>
      <c r="H23" s="2">
        <f>-12.0450059776823</f>
        <v>-12.045005977682299</v>
      </c>
      <c r="I23" s="2">
        <v>-77.029964136886207</v>
      </c>
      <c r="J23" t="s">
        <v>40</v>
      </c>
      <c r="K23" t="s">
        <v>114</v>
      </c>
      <c r="L23" t="s">
        <v>16</v>
      </c>
      <c r="M23" t="s">
        <v>249</v>
      </c>
    </row>
    <row r="24" spans="1:13" x14ac:dyDescent="0.3">
      <c r="A24">
        <v>23</v>
      </c>
      <c r="B24" s="1">
        <v>39309</v>
      </c>
      <c r="C24" t="s">
        <v>76</v>
      </c>
      <c r="D24" t="s">
        <v>115</v>
      </c>
      <c r="E24" t="s">
        <v>116</v>
      </c>
      <c r="F24" t="s">
        <v>117</v>
      </c>
      <c r="G24" t="s">
        <v>118</v>
      </c>
      <c r="H24" s="2">
        <v>-14.074721132932901</v>
      </c>
      <c r="I24" s="2">
        <v>-75.706129538867103</v>
      </c>
      <c r="J24" t="s">
        <v>119</v>
      </c>
      <c r="K24" t="s">
        <v>120</v>
      </c>
      <c r="L24" t="s">
        <v>29</v>
      </c>
      <c r="M24" t="s">
        <v>250</v>
      </c>
    </row>
    <row r="25" spans="1:13" x14ac:dyDescent="0.3">
      <c r="A25">
        <v>24</v>
      </c>
      <c r="B25" s="1">
        <v>39736</v>
      </c>
      <c r="C25" t="s">
        <v>76</v>
      </c>
      <c r="D25" t="s">
        <v>121</v>
      </c>
      <c r="E25" t="s">
        <v>122</v>
      </c>
      <c r="F25" t="s">
        <v>44</v>
      </c>
      <c r="G25" t="s">
        <v>13</v>
      </c>
      <c r="H25" s="2">
        <v>-12.0579473662712</v>
      </c>
      <c r="I25" s="2">
        <v>-77.068053272959006</v>
      </c>
      <c r="J25" t="s">
        <v>123</v>
      </c>
      <c r="K25" t="s">
        <v>124</v>
      </c>
      <c r="L25" t="s">
        <v>51</v>
      </c>
      <c r="M25" t="s">
        <v>251</v>
      </c>
    </row>
    <row r="26" spans="1:13" x14ac:dyDescent="0.3">
      <c r="A26">
        <v>25</v>
      </c>
      <c r="B26" s="1">
        <v>39969</v>
      </c>
      <c r="C26" t="s">
        <v>76</v>
      </c>
      <c r="D26" t="s">
        <v>125</v>
      </c>
      <c r="E26" t="s">
        <v>126</v>
      </c>
      <c r="F26" t="s">
        <v>19</v>
      </c>
      <c r="G26" t="s">
        <v>127</v>
      </c>
      <c r="H26" s="2">
        <v>-5.6306635543827204</v>
      </c>
      <c r="I26" s="2">
        <v>-78.527188015906802</v>
      </c>
      <c r="J26" t="s">
        <v>128</v>
      </c>
      <c r="K26" t="s">
        <v>129</v>
      </c>
      <c r="L26" t="s">
        <v>81</v>
      </c>
      <c r="M26" t="s">
        <v>252</v>
      </c>
    </row>
    <row r="27" spans="1:13" x14ac:dyDescent="0.3">
      <c r="A27">
        <v>26</v>
      </c>
      <c r="B27" s="1">
        <v>40533</v>
      </c>
      <c r="C27" t="s">
        <v>130</v>
      </c>
      <c r="D27" t="s">
        <v>131</v>
      </c>
      <c r="E27" t="s">
        <v>132</v>
      </c>
      <c r="F27" t="s">
        <v>104</v>
      </c>
      <c r="G27" t="s">
        <v>13</v>
      </c>
      <c r="H27" s="2">
        <v>-12.0579473662712</v>
      </c>
      <c r="I27" s="2">
        <v>-77.068053272959006</v>
      </c>
      <c r="J27" t="s">
        <v>133</v>
      </c>
      <c r="K27" t="s">
        <v>134</v>
      </c>
      <c r="L27" t="s">
        <v>46</v>
      </c>
      <c r="M27" t="s">
        <v>253</v>
      </c>
    </row>
    <row r="28" spans="1:13" x14ac:dyDescent="0.3">
      <c r="A28">
        <v>27</v>
      </c>
      <c r="B28" s="1">
        <v>40752</v>
      </c>
      <c r="C28" t="s">
        <v>130</v>
      </c>
      <c r="D28" t="s">
        <v>135</v>
      </c>
      <c r="E28" t="s">
        <v>136</v>
      </c>
      <c r="F28" t="s">
        <v>12</v>
      </c>
      <c r="G28" t="s">
        <v>13</v>
      </c>
      <c r="H28" s="2">
        <f>-12.0450059776823</f>
        <v>-12.045005977682299</v>
      </c>
      <c r="I28" s="2">
        <v>-77.029964136886207</v>
      </c>
      <c r="J28" t="s">
        <v>137</v>
      </c>
      <c r="K28" t="s">
        <v>138</v>
      </c>
      <c r="L28" t="s">
        <v>16</v>
      </c>
      <c r="M28" t="s">
        <v>254</v>
      </c>
    </row>
    <row r="29" spans="1:13" x14ac:dyDescent="0.3">
      <c r="A29">
        <v>28</v>
      </c>
      <c r="B29" s="1">
        <v>41074</v>
      </c>
      <c r="C29" t="s">
        <v>130</v>
      </c>
      <c r="D29" t="s">
        <v>139</v>
      </c>
      <c r="E29" t="s">
        <v>140</v>
      </c>
      <c r="F29" t="s">
        <v>117</v>
      </c>
      <c r="G29" t="s">
        <v>141</v>
      </c>
      <c r="H29" s="2">
        <v>-7.1385087370421196</v>
      </c>
      <c r="I29" s="2">
        <v>-78.511924929892402</v>
      </c>
      <c r="J29" t="s">
        <v>142</v>
      </c>
      <c r="K29" t="s">
        <v>143</v>
      </c>
      <c r="L29" t="s">
        <v>29</v>
      </c>
      <c r="M29" t="s">
        <v>255</v>
      </c>
    </row>
    <row r="30" spans="1:13" x14ac:dyDescent="0.3">
      <c r="A30">
        <v>29</v>
      </c>
      <c r="B30" s="1">
        <v>41395</v>
      </c>
      <c r="C30" t="s">
        <v>130</v>
      </c>
      <c r="D30" t="s">
        <v>144</v>
      </c>
      <c r="E30" t="s">
        <v>145</v>
      </c>
      <c r="F30" t="s">
        <v>146</v>
      </c>
      <c r="G30" t="s">
        <v>13</v>
      </c>
      <c r="H30" s="2">
        <f>-12.0479451976752</f>
        <v>-12.047945197675199</v>
      </c>
      <c r="I30" s="2">
        <v>-77.025359597612507</v>
      </c>
      <c r="J30" t="s">
        <v>147</v>
      </c>
      <c r="K30" t="s">
        <v>148</v>
      </c>
      <c r="L30" t="s">
        <v>149</v>
      </c>
      <c r="M30" t="s">
        <v>256</v>
      </c>
    </row>
    <row r="31" spans="1:13" x14ac:dyDescent="0.3">
      <c r="A31">
        <v>30</v>
      </c>
      <c r="B31" s="1">
        <v>41810</v>
      </c>
      <c r="C31" t="s">
        <v>130</v>
      </c>
      <c r="D31" t="s">
        <v>225</v>
      </c>
      <c r="E31" t="s">
        <v>160</v>
      </c>
      <c r="F31" t="s">
        <v>117</v>
      </c>
      <c r="G31" t="s">
        <v>161</v>
      </c>
      <c r="H31" s="2">
        <v>-4.8021995699639701</v>
      </c>
      <c r="I31" s="2">
        <v>-75.2157806849346</v>
      </c>
      <c r="J31" t="s">
        <v>162</v>
      </c>
      <c r="K31" t="s">
        <v>163</v>
      </c>
      <c r="L31" t="s">
        <v>46</v>
      </c>
      <c r="M31" t="s">
        <v>257</v>
      </c>
    </row>
    <row r="32" spans="1:13" x14ac:dyDescent="0.3">
      <c r="A32">
        <v>31</v>
      </c>
      <c r="B32" s="1">
        <v>41917</v>
      </c>
      <c r="C32" t="s">
        <v>130</v>
      </c>
      <c r="D32" t="s">
        <v>150</v>
      </c>
      <c r="E32" t="s">
        <v>151</v>
      </c>
      <c r="F32" t="s">
        <v>12</v>
      </c>
      <c r="G32" t="s">
        <v>13</v>
      </c>
      <c r="H32" s="2">
        <f>-12.0479451976752</f>
        <v>-12.047945197675199</v>
      </c>
      <c r="I32" s="2">
        <v>-77.025359597612507</v>
      </c>
      <c r="J32" t="s">
        <v>152</v>
      </c>
      <c r="K32" t="s">
        <v>153</v>
      </c>
      <c r="L32" t="s">
        <v>152</v>
      </c>
      <c r="M32" t="s">
        <v>258</v>
      </c>
    </row>
    <row r="33" spans="1:13" x14ac:dyDescent="0.3">
      <c r="A33">
        <v>32</v>
      </c>
      <c r="B33" s="1">
        <v>42247</v>
      </c>
      <c r="C33" t="s">
        <v>130</v>
      </c>
      <c r="D33" t="s">
        <v>155</v>
      </c>
      <c r="E33" t="s">
        <v>156</v>
      </c>
      <c r="F33" t="s">
        <v>157</v>
      </c>
      <c r="G33" t="s">
        <v>141</v>
      </c>
      <c r="H33" s="2">
        <v>-7.1385087370421196</v>
      </c>
      <c r="I33" s="2">
        <v>-78.511924929892402</v>
      </c>
      <c r="J33" t="s">
        <v>158</v>
      </c>
      <c r="K33" t="s">
        <v>159</v>
      </c>
      <c r="L33" t="s">
        <v>29</v>
      </c>
      <c r="M33" t="s">
        <v>259</v>
      </c>
    </row>
    <row r="34" spans="1:13" x14ac:dyDescent="0.3">
      <c r="A34">
        <v>33</v>
      </c>
      <c r="B34" s="1">
        <v>42579</v>
      </c>
      <c r="C34" t="s">
        <v>130</v>
      </c>
      <c r="D34" t="s">
        <v>164</v>
      </c>
      <c r="E34" t="s">
        <v>165</v>
      </c>
      <c r="F34" t="s">
        <v>12</v>
      </c>
      <c r="G34" t="s">
        <v>13</v>
      </c>
      <c r="H34" s="2">
        <f>-12.0450059776823</f>
        <v>-12.045005977682299</v>
      </c>
      <c r="I34" s="2">
        <v>-77.029964136886207</v>
      </c>
      <c r="J34" t="s">
        <v>166</v>
      </c>
      <c r="K34" t="s">
        <v>167</v>
      </c>
      <c r="L34" t="s">
        <v>16</v>
      </c>
      <c r="M34" t="s">
        <v>260</v>
      </c>
    </row>
    <row r="35" spans="1:13" x14ac:dyDescent="0.3">
      <c r="A35">
        <v>34</v>
      </c>
      <c r="B35" s="1">
        <v>42623</v>
      </c>
      <c r="C35" t="s">
        <v>130</v>
      </c>
      <c r="D35" t="s">
        <v>168</v>
      </c>
      <c r="E35" t="s">
        <v>169</v>
      </c>
      <c r="F35" t="s">
        <v>157</v>
      </c>
      <c r="G35" t="s">
        <v>170</v>
      </c>
      <c r="H35" s="2">
        <v>-6.5114204688260502</v>
      </c>
      <c r="I35" s="2">
        <v>-79.8489059344369</v>
      </c>
      <c r="J35" t="s">
        <v>171</v>
      </c>
      <c r="K35" t="s">
        <v>172</v>
      </c>
      <c r="L35" t="s">
        <v>173</v>
      </c>
      <c r="M35" t="s">
        <v>261</v>
      </c>
    </row>
    <row r="36" spans="1:13" x14ac:dyDescent="0.3">
      <c r="A36">
        <v>35</v>
      </c>
      <c r="B36" s="1">
        <v>42809</v>
      </c>
      <c r="C36" t="s">
        <v>130</v>
      </c>
      <c r="D36" t="s">
        <v>174</v>
      </c>
      <c r="E36" t="s">
        <v>175</v>
      </c>
      <c r="F36" t="s">
        <v>117</v>
      </c>
      <c r="G36" t="s">
        <v>176</v>
      </c>
      <c r="H36" s="2">
        <v>-5.1808947201342797</v>
      </c>
      <c r="I36" s="2">
        <v>-80.982201108236296</v>
      </c>
      <c r="J36" t="s">
        <v>177</v>
      </c>
      <c r="K36" t="s">
        <v>178</v>
      </c>
      <c r="L36" t="s">
        <v>29</v>
      </c>
      <c r="M36" t="s">
        <v>262</v>
      </c>
    </row>
    <row r="37" spans="1:13" x14ac:dyDescent="0.3">
      <c r="A37">
        <v>36</v>
      </c>
      <c r="B37" s="1">
        <v>42908</v>
      </c>
      <c r="C37" t="s">
        <v>130</v>
      </c>
      <c r="D37" t="s">
        <v>226</v>
      </c>
      <c r="E37" t="s">
        <v>184</v>
      </c>
      <c r="F37" t="s">
        <v>19</v>
      </c>
      <c r="G37" t="s">
        <v>13</v>
      </c>
      <c r="H37" s="2">
        <v>-12.0442487513955</v>
      </c>
      <c r="I37" s="2">
        <v>-77.044554732533697</v>
      </c>
      <c r="J37" t="s">
        <v>186</v>
      </c>
      <c r="K37" t="s">
        <v>187</v>
      </c>
      <c r="L37" t="s">
        <v>188</v>
      </c>
      <c r="M37" t="s">
        <v>263</v>
      </c>
    </row>
    <row r="38" spans="1:13" x14ac:dyDescent="0.3">
      <c r="A38">
        <v>37</v>
      </c>
      <c r="B38" s="1">
        <v>42986</v>
      </c>
      <c r="C38" t="s">
        <v>130</v>
      </c>
      <c r="D38" t="s">
        <v>179</v>
      </c>
      <c r="E38" t="s">
        <v>180</v>
      </c>
      <c r="F38" t="s">
        <v>19</v>
      </c>
      <c r="G38" t="s">
        <v>181</v>
      </c>
      <c r="H38" s="2">
        <v>-13.533051194594</v>
      </c>
      <c r="I38" s="2">
        <v>-71.808252217549807</v>
      </c>
      <c r="J38" t="s">
        <v>182</v>
      </c>
      <c r="K38" t="s">
        <v>183</v>
      </c>
      <c r="L38" t="s">
        <v>46</v>
      </c>
      <c r="M38" t="s">
        <v>264</v>
      </c>
    </row>
    <row r="39" spans="1:13" x14ac:dyDescent="0.3">
      <c r="A39">
        <v>38</v>
      </c>
      <c r="B39" s="1">
        <v>43256</v>
      </c>
      <c r="C39" t="s">
        <v>130</v>
      </c>
      <c r="D39" t="s">
        <v>189</v>
      </c>
      <c r="E39" t="s">
        <v>190</v>
      </c>
      <c r="F39" t="s">
        <v>19</v>
      </c>
      <c r="G39" t="s">
        <v>185</v>
      </c>
      <c r="H39" s="2">
        <v>-16.408083212027101</v>
      </c>
      <c r="I39" s="2">
        <v>-71.5437765047065</v>
      </c>
      <c r="J39" t="s">
        <v>191</v>
      </c>
      <c r="K39" t="s">
        <v>192</v>
      </c>
      <c r="L39" t="s">
        <v>29</v>
      </c>
      <c r="M39" t="s">
        <v>265</v>
      </c>
    </row>
    <row r="40" spans="1:13" x14ac:dyDescent="0.3">
      <c r="A40">
        <v>39</v>
      </c>
      <c r="B40" s="1">
        <v>43465</v>
      </c>
      <c r="C40" t="s">
        <v>130</v>
      </c>
      <c r="D40" t="s">
        <v>193</v>
      </c>
      <c r="E40" t="s">
        <v>194</v>
      </c>
      <c r="F40" t="s">
        <v>26</v>
      </c>
      <c r="G40" t="s">
        <v>195</v>
      </c>
      <c r="H40" s="2">
        <v>-9.9178806435739109</v>
      </c>
      <c r="I40" s="2">
        <v>-76.243485489086297</v>
      </c>
      <c r="J40" t="s">
        <v>27</v>
      </c>
      <c r="K40" t="s">
        <v>196</v>
      </c>
      <c r="L40" t="s">
        <v>27</v>
      </c>
      <c r="M40" t="s">
        <v>266</v>
      </c>
    </row>
    <row r="41" spans="1:13" x14ac:dyDescent="0.3">
      <c r="A41">
        <v>40</v>
      </c>
      <c r="B41" s="1">
        <v>43564</v>
      </c>
      <c r="C41" t="s">
        <v>130</v>
      </c>
      <c r="D41" t="s">
        <v>197</v>
      </c>
      <c r="E41" t="s">
        <v>198</v>
      </c>
      <c r="F41" t="s">
        <v>157</v>
      </c>
      <c r="G41" t="s">
        <v>154</v>
      </c>
      <c r="H41" s="2">
        <v>-6.4013197940601199</v>
      </c>
      <c r="I41" s="2">
        <v>-77.930253922012</v>
      </c>
      <c r="J41" t="s">
        <v>199</v>
      </c>
      <c r="K41" t="s">
        <v>200</v>
      </c>
      <c r="L41" t="s">
        <v>29</v>
      </c>
      <c r="M41" t="s">
        <v>267</v>
      </c>
    </row>
    <row r="42" spans="1:13" x14ac:dyDescent="0.3">
      <c r="A42">
        <v>41</v>
      </c>
      <c r="B42" s="1">
        <v>43642</v>
      </c>
      <c r="C42" t="s">
        <v>130</v>
      </c>
      <c r="D42" t="s">
        <v>201</v>
      </c>
      <c r="E42" t="s">
        <v>202</v>
      </c>
      <c r="F42" t="s">
        <v>19</v>
      </c>
      <c r="G42" t="s">
        <v>181</v>
      </c>
      <c r="H42" s="2">
        <v>-13.533051194594</v>
      </c>
      <c r="I42" s="2">
        <v>-71.808252217549807</v>
      </c>
      <c r="J42" t="s">
        <v>203</v>
      </c>
      <c r="K42" t="s">
        <v>204</v>
      </c>
      <c r="L42" t="s">
        <v>81</v>
      </c>
      <c r="M42" t="s">
        <v>268</v>
      </c>
    </row>
    <row r="43" spans="1:13" x14ac:dyDescent="0.3">
      <c r="A43">
        <v>42</v>
      </c>
      <c r="B43" s="1">
        <v>43896</v>
      </c>
      <c r="C43" t="s">
        <v>205</v>
      </c>
      <c r="D43" t="s">
        <v>206</v>
      </c>
      <c r="E43" t="s">
        <v>207</v>
      </c>
      <c r="F43" t="s">
        <v>208</v>
      </c>
      <c r="G43" t="s">
        <v>13</v>
      </c>
      <c r="H43" s="2">
        <v>-12.0579473662712</v>
      </c>
      <c r="I43" s="2">
        <v>-77.068053272959006</v>
      </c>
      <c r="J43" t="s">
        <v>209</v>
      </c>
      <c r="K43" t="s">
        <v>210</v>
      </c>
      <c r="L43" t="s">
        <v>209</v>
      </c>
      <c r="M43" t="s">
        <v>269</v>
      </c>
    </row>
    <row r="44" spans="1:13" x14ac:dyDescent="0.3">
      <c r="A44">
        <v>43</v>
      </c>
      <c r="B44" s="1">
        <v>43931</v>
      </c>
      <c r="C44" t="s">
        <v>205</v>
      </c>
      <c r="D44" t="s">
        <v>211</v>
      </c>
      <c r="E44" t="s">
        <v>212</v>
      </c>
      <c r="F44" t="s">
        <v>19</v>
      </c>
      <c r="G44" t="s">
        <v>213</v>
      </c>
      <c r="H44" s="2">
        <v>-18.287539716463499</v>
      </c>
      <c r="I44" s="2">
        <v>-70.315126007091905</v>
      </c>
      <c r="J44" t="s">
        <v>214</v>
      </c>
      <c r="K44" t="s">
        <v>215</v>
      </c>
      <c r="L44" t="s">
        <v>46</v>
      </c>
      <c r="M44" t="s">
        <v>270</v>
      </c>
    </row>
    <row r="45" spans="1:13" x14ac:dyDescent="0.3">
      <c r="A45">
        <v>44</v>
      </c>
      <c r="B45" s="1">
        <v>44149</v>
      </c>
      <c r="C45" t="s">
        <v>205</v>
      </c>
      <c r="D45" t="s">
        <v>216</v>
      </c>
      <c r="E45" t="s">
        <v>217</v>
      </c>
      <c r="F45" t="s">
        <v>19</v>
      </c>
      <c r="G45" t="s">
        <v>13</v>
      </c>
      <c r="H45" s="2">
        <f>-12.0517187883729</f>
        <v>-12.0517187883729</v>
      </c>
      <c r="I45" s="2">
        <v>-77.034671572863004</v>
      </c>
      <c r="J45" t="s">
        <v>218</v>
      </c>
      <c r="K45" t="s">
        <v>219</v>
      </c>
      <c r="L45" t="s">
        <v>81</v>
      </c>
      <c r="M45" t="s">
        <v>271</v>
      </c>
    </row>
    <row r="46" spans="1:13" x14ac:dyDescent="0.3">
      <c r="A46">
        <v>45</v>
      </c>
      <c r="B46" s="1">
        <v>44226</v>
      </c>
      <c r="C46" t="s">
        <v>205</v>
      </c>
      <c r="D46" t="s">
        <v>220</v>
      </c>
      <c r="E46" t="s">
        <v>221</v>
      </c>
      <c r="F46" t="s">
        <v>208</v>
      </c>
      <c r="G46" t="s">
        <v>13</v>
      </c>
      <c r="H46" s="2">
        <f>-12.0517187883729</f>
        <v>-12.0517187883729</v>
      </c>
      <c r="I46" s="2">
        <v>-77.034671572863004</v>
      </c>
      <c r="J46" t="s">
        <v>209</v>
      </c>
      <c r="K46" t="s">
        <v>222</v>
      </c>
      <c r="L46" t="s">
        <v>29</v>
      </c>
      <c r="M46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2025-12-04T08:14:07Z</dcterms:created>
  <dcterms:modified xsi:type="dcterms:W3CDTF">2025-12-07T04:49:53Z</dcterms:modified>
</cp:coreProperties>
</file>